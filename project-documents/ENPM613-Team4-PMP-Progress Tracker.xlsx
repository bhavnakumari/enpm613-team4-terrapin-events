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<sst xmlns="http://schemas.openxmlformats.org/spreadsheetml/2006/main" count="68" uniqueCount="59">
  <si>
    <t xml:space="preserve">   </t>
  </si>
  <si>
    <t>Effort  (Person hours)</t>
  </si>
  <si>
    <t>MAIN ACTIVITY
(Use the WBS to Update)</t>
  </si>
  <si>
    <t>Sub-tasks</t>
  </si>
  <si>
    <t>Heena Khan (Project Manager)</t>
  </si>
  <si>
    <t>Bhavna Kumari (Requirements Engineer)</t>
  </si>
  <si>
    <t>Teja Tatimatla (Solutions Architect)</t>
  </si>
  <si>
    <t>Vineet Agarwal (Developer)</t>
  </si>
  <si>
    <t>Abhigna Kandala (Developer)</t>
  </si>
  <si>
    <t>TOTAL ESTIMATED EFFORT per activity</t>
  </si>
  <si>
    <t>TOTAL ACTUAL EFFORT per activity</t>
  </si>
  <si>
    <t>Estimated</t>
  </si>
  <si>
    <t>Actual</t>
  </si>
  <si>
    <t>Project Management Plan</t>
  </si>
  <si>
    <t>Draft PMP (Structure, purpose, Context)</t>
  </si>
  <si>
    <t>Create Work Breakdown Strcuture (WBS)</t>
  </si>
  <si>
    <t>Develop RACI Matrix</t>
  </si>
  <si>
    <t>Risk Register Preparation</t>
  </si>
  <si>
    <t>Preparation of Figures</t>
  </si>
  <si>
    <t>Progress Tracker SetUp</t>
  </si>
  <si>
    <t>Review &amp; Finalize PMP Document</t>
  </si>
  <si>
    <t>Requirements</t>
  </si>
  <si>
    <t>Conduct stakeholder interviews &amp; surveys</t>
  </si>
  <si>
    <t>Document functional requirements</t>
  </si>
  <si>
    <t>Document non-functional requirements and design constraints</t>
  </si>
  <si>
    <t>Build requirements traceability matrix (RTM)</t>
  </si>
  <si>
    <t>Validate requirements with stakeholders</t>
  </si>
  <si>
    <t>Analysis</t>
  </si>
  <si>
    <t>Design</t>
  </si>
  <si>
    <t>Ux design</t>
  </si>
  <si>
    <t>Architecture design</t>
  </si>
  <si>
    <t>Database design</t>
  </si>
  <si>
    <t>Architecture documentation (SAD)</t>
  </si>
  <si>
    <t>Detailed design (SADD)</t>
  </si>
  <si>
    <t>Implementation</t>
  </si>
  <si>
    <t>Setup</t>
  </si>
  <si>
    <t>Module development</t>
  </si>
  <si>
    <t>Integration</t>
  </si>
  <si>
    <t>Code quality</t>
  </si>
  <si>
    <t>Testing</t>
  </si>
  <si>
    <t>Unit testing</t>
  </si>
  <si>
    <t>Integration testing</t>
  </si>
  <si>
    <t>System testing</t>
  </si>
  <si>
    <t>Acceptance testing</t>
  </si>
  <si>
    <t>Execute functional tests</t>
  </si>
  <si>
    <t>Conduct non-functional tests</t>
  </si>
  <si>
    <t>Analyze test coverage reports</t>
  </si>
  <si>
    <t>Document bugs and fixes</t>
  </si>
  <si>
    <t>Documentation</t>
  </si>
  <si>
    <t>Prepare requirements documentation (SRS)</t>
  </si>
  <si>
    <t>Create design document</t>
  </si>
  <si>
    <t>Prepare user manual</t>
  </si>
  <si>
    <t>Finalize project report</t>
  </si>
  <si>
    <t xml:space="preserve">Overhead </t>
  </si>
  <si>
    <t>Project Management</t>
  </si>
  <si>
    <t>Risk management and mitigation tracking</t>
  </si>
  <si>
    <t>Communication with professor/grader</t>
  </si>
  <si>
    <t>Preparing presentations and status reports</t>
  </si>
  <si>
    <t>TOTAL ESTIMATED and ACTUAL EFFORT per student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</si>
</sst>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2.0"/>
      <color rgb="FFFFFFFF"/>
      <name val="Arial"/>
    </font>
    <font/>
    <font>
      <b/>
      <sz val="8.0"/>
      <color rgb="FFFFFFFF"/>
      <name val="Arial"/>
    </font>
    <font>
      <sz val="18.0"/>
      <color theme="1"/>
      <name val="Arial"/>
    </font>
    <font>
      <b/>
      <sz val="8.0"/>
      <color rgb="FF000000"/>
      <name val="Arial"/>
    </font>
    <font>
      <b/>
      <color theme="1"/>
      <name val="Aptos Narrow"/>
      <scheme val="minor"/>
    </font>
    <font>
      <b/>
      <sz val="18.0"/>
      <color theme="1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B4696"/>
        <bgColor rgb="FF2B4696"/>
      </patternFill>
    </fill>
    <fill>
      <patternFill patternType="solid">
        <fgColor rgb="FFCDCFDD"/>
        <bgColor rgb="FFCDCFDD"/>
      </patternFill>
    </fill>
    <fill>
      <patternFill patternType="solid">
        <fgColor rgb="FFE8E9EF"/>
        <bgColor rgb="FFE8E9EF"/>
      </patternFill>
    </fill>
  </fills>
  <borders count="14">
    <border/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 style="thick">
        <color rgb="FFFFFFFF"/>
      </top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FFFFFF"/>
      </right>
      <bottom style="medium">
        <color rgb="FFFFFFF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1" shrinkToFit="0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shrinkToFit="0" wrapText="1"/>
    </xf>
    <xf borderId="8" fillId="2" fontId="3" numFmtId="0" xfId="0" applyAlignment="1" applyBorder="1" applyFont="1">
      <alignment horizontal="center" readingOrder="1" shrinkToFit="0" vertical="top" wrapText="1"/>
    </xf>
    <xf borderId="8" fillId="4" fontId="5" numFmtId="0" xfId="0" applyAlignment="1" applyBorder="1" applyFill="1" applyFont="1">
      <alignment horizontal="center" readingOrder="1" shrinkToFit="0" vertical="top" wrapText="1"/>
    </xf>
    <xf borderId="9" fillId="4" fontId="5" numFmtId="0" xfId="0" applyAlignment="1" applyBorder="1" applyFont="1">
      <alignment horizontal="center" readingOrder="1" shrinkToFit="0" vertical="top" wrapText="1"/>
    </xf>
    <xf borderId="10" fillId="0" fontId="2" numFmtId="0" xfId="0" applyBorder="1" applyFont="1"/>
    <xf borderId="8" fillId="4" fontId="5" numFmtId="0" xfId="0" applyAlignment="1" applyBorder="1" applyFont="1">
      <alignment horizontal="center" readingOrder="1" shrinkToFit="0" vertical="top" wrapText="1"/>
    </xf>
    <xf borderId="0" fillId="0" fontId="6" numFmtId="0" xfId="0" applyFont="1"/>
    <xf borderId="8" fillId="2" fontId="7" numFmtId="0" xfId="0" applyAlignment="1" applyBorder="1" applyFont="1">
      <alignment shrinkToFit="0" wrapText="1"/>
    </xf>
    <xf borderId="8" fillId="3" fontId="5" numFmtId="0" xfId="0" applyAlignment="1" applyBorder="1" applyFont="1">
      <alignment horizontal="center" readingOrder="1" shrinkToFit="0" vertical="top" wrapText="1"/>
    </xf>
    <xf borderId="8" fillId="3" fontId="5" numFmtId="0" xfId="0" applyAlignment="1" applyBorder="1" applyFont="1">
      <alignment horizontal="center" readingOrder="1" shrinkToFit="0" wrapText="1"/>
    </xf>
    <xf borderId="8" fillId="2" fontId="3" numFmtId="0" xfId="0" applyAlignment="1" applyBorder="1" applyFont="1">
      <alignment horizontal="center" readingOrder="1" shrinkToFit="0" wrapText="1"/>
    </xf>
    <xf borderId="8" fillId="4" fontId="8" numFmtId="0" xfId="0" applyAlignment="1" applyBorder="1" applyFont="1">
      <alignment horizontal="center" readingOrder="1" shrinkToFit="0" vertical="top" wrapText="1"/>
    </xf>
    <xf borderId="8" fillId="4" fontId="8" numFmtId="0" xfId="0" applyAlignment="1" applyBorder="1" applyFont="1">
      <alignment horizontal="center" readingOrder="1" shrinkToFit="0" wrapText="1"/>
    </xf>
    <xf borderId="8" fillId="4" fontId="8" numFmtId="0" xfId="0" applyAlignment="1" applyBorder="1" applyFont="1">
      <alignment horizontal="center" readingOrder="1" shrinkToFit="0" wrapText="1"/>
    </xf>
    <xf borderId="8" fillId="2" fontId="3" numFmtId="0" xfId="0" applyAlignment="1" applyBorder="1" applyFont="1">
      <alignment horizontal="center" readingOrder="1" shrinkToFit="0" wrapText="1"/>
    </xf>
    <xf borderId="8" fillId="4" fontId="8" numFmtId="0" xfId="0" applyAlignment="1" applyBorder="1" applyFont="1">
      <alignment horizontal="center" readingOrder="1" shrinkToFit="0" vertical="top" wrapText="1"/>
    </xf>
    <xf borderId="8" fillId="3" fontId="8" numFmtId="0" xfId="0" applyAlignment="1" applyBorder="1" applyFont="1">
      <alignment horizontal="center" readingOrder="1" shrinkToFit="0" vertical="top" wrapText="1"/>
    </xf>
    <xf borderId="8" fillId="3" fontId="8" numFmtId="0" xfId="0" applyAlignment="1" applyBorder="1" applyFont="1">
      <alignment horizontal="center" readingOrder="1" shrinkToFit="0" wrapText="1"/>
    </xf>
    <xf borderId="8" fillId="3" fontId="8" numFmtId="0" xfId="0" applyAlignment="1" applyBorder="1" applyFont="1">
      <alignment horizontal="center" readingOrder="1" shrinkToFit="0" wrapText="1"/>
    </xf>
    <xf borderId="11" fillId="2" fontId="3" numFmtId="0" xfId="0" applyAlignment="1" applyBorder="1" applyFont="1">
      <alignment horizontal="center" readingOrder="1" shrinkToFit="0" wrapText="1"/>
    </xf>
    <xf borderId="11" fillId="4" fontId="8" numFmtId="0" xfId="0" applyAlignment="1" applyBorder="1" applyFont="1">
      <alignment horizontal="center" readingOrder="1" shrinkToFit="0" wrapText="1"/>
    </xf>
    <xf borderId="11" fillId="4" fontId="8" numFmtId="0" xfId="0" applyAlignment="1" applyBorder="1" applyFont="1">
      <alignment horizontal="center" readingOrder="1" shrinkToFit="0" wrapText="1"/>
    </xf>
    <xf borderId="12" fillId="2" fontId="3" numFmtId="0" xfId="0" applyAlignment="1" applyBorder="1" applyFont="1">
      <alignment horizontal="center" readingOrder="1" shrinkToFit="0" wrapText="1"/>
    </xf>
    <xf borderId="13" fillId="3" fontId="8" numFmtId="0" xfId="0" applyAlignment="1" applyBorder="1" applyFont="1">
      <alignment horizontal="center" readingOrder="1" shrinkToFit="0" wrapText="1"/>
    </xf>
    <xf borderId="12" fillId="3" fontId="8" numFmtId="0" xfId="0" applyAlignment="1" applyBorder="1" applyFont="1">
      <alignment horizontal="center" readingOrder="1" shrinkToFit="0" wrapText="1"/>
    </xf>
    <xf borderId="12" fillId="3" fontId="8" numFmtId="0" xfId="0" applyAlignment="1" applyBorder="1" applyFont="1">
      <alignment horizontal="left" readingOrder="1" shrinkToFit="0" wrapText="1"/>
    </xf>
    <xf borderId="7" fillId="2" fontId="3" numFmtId="0" xfId="0" applyAlignment="1" applyBorder="1" applyFont="1">
      <alignment horizontal="center" readingOrder="1" shrinkToFit="0" vertical="top" wrapText="1"/>
    </xf>
    <xf borderId="7" fillId="2" fontId="4" numFmtId="0" xfId="0" applyAlignment="1" applyBorder="1" applyFont="1">
      <alignment horizontal="center" shrinkToFit="0" wrapText="1"/>
    </xf>
    <xf borderId="7" fillId="2" fontId="3" numFmtId="0" xfId="0" applyAlignment="1" applyBorder="1" applyFont="1">
      <alignment horizontal="center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36.75"/>
    <col customWidth="1" min="3" max="26" width="8.6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4.2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7"/>
      <c r="N2" s="7"/>
    </row>
    <row r="3" ht="14.25" customHeight="1">
      <c r="A3" s="8" t="s">
        <v>2</v>
      </c>
      <c r="B3" s="9" t="s">
        <v>3</v>
      </c>
      <c r="C3" s="10" t="s">
        <v>4</v>
      </c>
      <c r="D3" s="11"/>
      <c r="E3" s="10" t="s">
        <v>5</v>
      </c>
      <c r="F3" s="11"/>
      <c r="G3" s="10" t="s">
        <v>6</v>
      </c>
      <c r="H3" s="11"/>
      <c r="I3" s="10" t="s">
        <v>7</v>
      </c>
      <c r="J3" s="11"/>
      <c r="K3" s="10" t="s">
        <v>8</v>
      </c>
      <c r="L3" s="11"/>
      <c r="M3" s="12" t="s">
        <v>9</v>
      </c>
      <c r="N3" s="12" t="s">
        <v>10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4"/>
      <c r="B4" s="15" t="s">
        <v>3</v>
      </c>
      <c r="C4" s="16" t="s">
        <v>11</v>
      </c>
      <c r="D4" s="16" t="s">
        <v>12</v>
      </c>
      <c r="E4" s="16" t="s">
        <v>11</v>
      </c>
      <c r="F4" s="16" t="s">
        <v>12</v>
      </c>
      <c r="G4" s="16" t="s">
        <v>11</v>
      </c>
      <c r="H4" s="16" t="s">
        <v>12</v>
      </c>
      <c r="I4" s="16" t="s">
        <v>11</v>
      </c>
      <c r="J4" s="16" t="s">
        <v>12</v>
      </c>
      <c r="K4" s="16" t="s">
        <v>11</v>
      </c>
      <c r="L4" s="16" t="s">
        <v>12</v>
      </c>
      <c r="M4" s="16"/>
      <c r="N4" s="16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7" t="s">
        <v>13</v>
      </c>
      <c r="B5" s="18" t="s">
        <v>14</v>
      </c>
      <c r="C5" s="19"/>
      <c r="D5" s="19"/>
      <c r="E5" s="19">
        <v>8.0</v>
      </c>
      <c r="F5" s="19">
        <v>7.0</v>
      </c>
      <c r="G5" s="20"/>
      <c r="H5" s="20"/>
      <c r="I5" s="20"/>
      <c r="J5" s="20"/>
      <c r="K5" s="20"/>
      <c r="L5" s="20"/>
      <c r="M5" s="19">
        <v>8.0</v>
      </c>
      <c r="N5" s="19">
        <v>7.0</v>
      </c>
    </row>
    <row r="6" ht="14.25" customHeight="1">
      <c r="A6" s="17"/>
      <c r="B6" s="18" t="s">
        <v>15</v>
      </c>
      <c r="C6" s="19"/>
      <c r="D6" s="19"/>
      <c r="E6" s="20"/>
      <c r="F6" s="20"/>
      <c r="G6" s="19"/>
      <c r="H6" s="19"/>
      <c r="I6" s="19">
        <v>8.0</v>
      </c>
      <c r="J6" s="19">
        <v>7.0</v>
      </c>
      <c r="K6" s="20"/>
      <c r="L6" s="20"/>
      <c r="M6" s="19">
        <v>8.0</v>
      </c>
      <c r="N6" s="19">
        <v>7.0</v>
      </c>
    </row>
    <row r="7" ht="14.25" customHeight="1">
      <c r="A7" s="17"/>
      <c r="B7" s="18" t="s">
        <v>16</v>
      </c>
      <c r="C7" s="19">
        <v>6.0</v>
      </c>
      <c r="D7" s="19">
        <v>6.0</v>
      </c>
      <c r="E7" s="20"/>
      <c r="F7" s="20"/>
      <c r="G7" s="20"/>
      <c r="H7" s="20"/>
      <c r="I7" s="20"/>
      <c r="J7" s="20"/>
      <c r="K7" s="20"/>
      <c r="L7" s="20"/>
      <c r="M7" s="19">
        <v>6.0</v>
      </c>
      <c r="N7" s="19">
        <v>6.0</v>
      </c>
    </row>
    <row r="8" ht="14.25" customHeight="1">
      <c r="A8" s="17"/>
      <c r="B8" s="18" t="s">
        <v>17</v>
      </c>
      <c r="C8" s="19"/>
      <c r="D8" s="19"/>
      <c r="E8" s="20"/>
      <c r="F8" s="20"/>
      <c r="G8" s="19">
        <v>8.0</v>
      </c>
      <c r="H8" s="19">
        <v>8.0</v>
      </c>
      <c r="I8" s="20"/>
      <c r="J8" s="20"/>
      <c r="K8" s="20"/>
      <c r="L8" s="20"/>
      <c r="M8" s="19">
        <v>8.0</v>
      </c>
      <c r="N8" s="19">
        <v>8.0</v>
      </c>
    </row>
    <row r="9" ht="14.25" customHeight="1">
      <c r="A9" s="17"/>
      <c r="B9" s="18" t="s">
        <v>18</v>
      </c>
      <c r="C9" s="19"/>
      <c r="D9" s="19"/>
      <c r="E9" s="20"/>
      <c r="F9" s="20"/>
      <c r="G9" s="19"/>
      <c r="H9" s="19"/>
      <c r="I9" s="20"/>
      <c r="J9" s="20"/>
      <c r="K9" s="19">
        <v>8.0</v>
      </c>
      <c r="L9" s="19">
        <v>8.0</v>
      </c>
      <c r="M9" s="19">
        <v>8.0</v>
      </c>
      <c r="N9" s="19">
        <v>8.0</v>
      </c>
    </row>
    <row r="10" ht="14.25" customHeight="1">
      <c r="A10" s="17"/>
      <c r="B10" s="18" t="s">
        <v>19</v>
      </c>
      <c r="C10" s="19">
        <v>2.0</v>
      </c>
      <c r="D10" s="19">
        <v>2.0</v>
      </c>
      <c r="E10" s="20"/>
      <c r="F10" s="20"/>
      <c r="G10" s="20"/>
      <c r="H10" s="20"/>
      <c r="I10" s="19"/>
      <c r="J10" s="19"/>
      <c r="K10" s="19"/>
      <c r="L10" s="19"/>
      <c r="M10" s="19">
        <v>2.0</v>
      </c>
      <c r="N10" s="19">
        <v>2.0</v>
      </c>
    </row>
    <row r="11" ht="14.25" customHeight="1">
      <c r="A11" s="17"/>
      <c r="B11" s="18" t="s">
        <v>20</v>
      </c>
      <c r="C11" s="19">
        <v>2.0</v>
      </c>
      <c r="D11" s="19">
        <v>2.0</v>
      </c>
      <c r="E11" s="19">
        <v>2.0</v>
      </c>
      <c r="F11" s="19">
        <v>2.0</v>
      </c>
      <c r="G11" s="19">
        <v>2.0</v>
      </c>
      <c r="H11" s="19">
        <v>2.0</v>
      </c>
      <c r="I11" s="19">
        <v>2.0</v>
      </c>
      <c r="J11" s="19">
        <v>2.0</v>
      </c>
      <c r="K11" s="19">
        <v>2.0</v>
      </c>
      <c r="L11" s="19">
        <v>2.0</v>
      </c>
      <c r="M11" s="19">
        <v>10.0</v>
      </c>
      <c r="N11" s="19">
        <v>10.0</v>
      </c>
    </row>
    <row r="12" ht="14.25" customHeight="1">
      <c r="A12" s="17"/>
      <c r="B12" s="18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ht="14.25" customHeight="1">
      <c r="A13" s="21" t="s">
        <v>21</v>
      </c>
      <c r="B13" s="22" t="s">
        <v>22</v>
      </c>
      <c r="C13" s="19">
        <v>2.0</v>
      </c>
      <c r="D13" s="19">
        <v>2.0</v>
      </c>
      <c r="E13" s="19">
        <v>4.0</v>
      </c>
      <c r="F13" s="19">
        <v>4.0</v>
      </c>
      <c r="G13" s="19">
        <v>2.0</v>
      </c>
      <c r="H13" s="19">
        <v>2.0</v>
      </c>
      <c r="I13" s="19">
        <v>2.0</v>
      </c>
      <c r="J13" s="19">
        <v>2.0</v>
      </c>
      <c r="K13" s="19">
        <v>2.0</v>
      </c>
      <c r="L13" s="19">
        <v>2.0</v>
      </c>
      <c r="M13" s="19">
        <v>12.0</v>
      </c>
      <c r="N13" s="19">
        <v>12.0</v>
      </c>
    </row>
    <row r="14" ht="14.25" customHeight="1">
      <c r="A14" s="21"/>
      <c r="B14" s="23" t="s">
        <v>23</v>
      </c>
      <c r="C14" s="24">
        <v>2.0</v>
      </c>
      <c r="D14" s="24">
        <v>2.0</v>
      </c>
      <c r="E14" s="24">
        <v>2.0</v>
      </c>
      <c r="F14" s="24">
        <v>2.0</v>
      </c>
      <c r="G14" s="24">
        <v>2.0</v>
      </c>
      <c r="H14" s="24">
        <v>2.0</v>
      </c>
      <c r="I14" s="24">
        <v>2.0</v>
      </c>
      <c r="J14" s="24">
        <v>2.0</v>
      </c>
      <c r="K14" s="24">
        <v>2.0</v>
      </c>
      <c r="L14" s="24">
        <v>2.0</v>
      </c>
      <c r="M14" s="24">
        <v>10.0</v>
      </c>
      <c r="N14" s="24">
        <v>10.0</v>
      </c>
    </row>
    <row r="15" ht="14.25" customHeight="1">
      <c r="A15" s="21"/>
      <c r="B15" s="18" t="s">
        <v>24</v>
      </c>
      <c r="C15" s="19">
        <v>2.0</v>
      </c>
      <c r="D15" s="19">
        <v>2.0</v>
      </c>
      <c r="E15" s="19">
        <v>2.0</v>
      </c>
      <c r="F15" s="19">
        <v>2.0</v>
      </c>
      <c r="G15" s="19">
        <v>2.0</v>
      </c>
      <c r="H15" s="19">
        <v>2.0</v>
      </c>
      <c r="I15" s="19">
        <v>2.0</v>
      </c>
      <c r="J15" s="19">
        <v>2.0</v>
      </c>
      <c r="K15" s="19">
        <v>2.0</v>
      </c>
      <c r="L15" s="19">
        <v>2.0</v>
      </c>
      <c r="M15" s="19">
        <v>10.0</v>
      </c>
      <c r="N15" s="19">
        <v>10.0</v>
      </c>
    </row>
    <row r="16" ht="14.25" customHeight="1">
      <c r="A16" s="21"/>
      <c r="B16" s="23" t="s">
        <v>25</v>
      </c>
      <c r="C16" s="24">
        <v>0.0</v>
      </c>
      <c r="D16" s="24">
        <v>0.0</v>
      </c>
      <c r="E16" s="24">
        <v>6.0</v>
      </c>
      <c r="F16" s="24">
        <v>5.0</v>
      </c>
      <c r="G16" s="24">
        <v>0.0</v>
      </c>
      <c r="H16" s="24">
        <v>0.0</v>
      </c>
      <c r="I16" s="24">
        <v>0.0</v>
      </c>
      <c r="J16" s="24">
        <v>0.0</v>
      </c>
      <c r="K16" s="24">
        <v>0.0</v>
      </c>
      <c r="L16" s="24">
        <v>0.0</v>
      </c>
      <c r="M16" s="24">
        <v>6.0</v>
      </c>
      <c r="N16" s="24">
        <v>5.0</v>
      </c>
    </row>
    <row r="17" ht="14.25" customHeight="1">
      <c r="A17" s="21"/>
      <c r="B17" s="22" t="s">
        <v>26</v>
      </c>
      <c r="C17" s="19">
        <v>2.0</v>
      </c>
      <c r="D17" s="19">
        <v>2.0</v>
      </c>
      <c r="E17" s="19">
        <v>2.0</v>
      </c>
      <c r="F17" s="19">
        <v>2.0</v>
      </c>
      <c r="G17" s="19">
        <v>2.0</v>
      </c>
      <c r="H17" s="19">
        <v>2.0</v>
      </c>
      <c r="I17" s="19">
        <v>2.0</v>
      </c>
      <c r="J17" s="19">
        <v>2.0</v>
      </c>
      <c r="K17" s="19">
        <v>2.0</v>
      </c>
      <c r="L17" s="19">
        <v>2.0</v>
      </c>
      <c r="M17" s="19">
        <v>10.0</v>
      </c>
      <c r="N17" s="19">
        <v>10.0</v>
      </c>
    </row>
    <row r="18" ht="14.25" customHeight="1">
      <c r="A18" s="21"/>
      <c r="B18" s="2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ht="14.25" customHeight="1">
      <c r="A19" s="21"/>
      <c r="B19" s="25" t="s">
        <v>27</v>
      </c>
      <c r="C19" s="24">
        <v>2.0</v>
      </c>
      <c r="D19" s="24">
        <v>2.0</v>
      </c>
      <c r="E19" s="24">
        <v>2.0</v>
      </c>
      <c r="F19" s="24">
        <v>2.0</v>
      </c>
      <c r="G19" s="24">
        <v>2.0</v>
      </c>
      <c r="H19" s="24">
        <v>2.0</v>
      </c>
      <c r="I19" s="24">
        <v>2.0</v>
      </c>
      <c r="J19" s="24">
        <v>2.0</v>
      </c>
      <c r="K19" s="24">
        <v>2.0</v>
      </c>
      <c r="L19" s="24">
        <v>2.0</v>
      </c>
      <c r="M19" s="20">
        <f t="shared" ref="M19:N19" si="1">SUM(C19,E19,G19,I19,K19)</f>
        <v>10</v>
      </c>
      <c r="N19" s="20">
        <f t="shared" si="1"/>
        <v>10</v>
      </c>
    </row>
    <row r="20" ht="14.25" customHeight="1">
      <c r="A20" s="21" t="s">
        <v>28</v>
      </c>
      <c r="B20" s="20" t="s">
        <v>29</v>
      </c>
      <c r="C20" s="19">
        <v>4.0</v>
      </c>
      <c r="D20" s="19">
        <v>4.0</v>
      </c>
      <c r="E20" s="19">
        <v>4.0</v>
      </c>
      <c r="F20" s="19">
        <v>4.0</v>
      </c>
      <c r="G20" s="19">
        <v>4.0</v>
      </c>
      <c r="H20" s="19">
        <v>4.0</v>
      </c>
      <c r="I20" s="19">
        <v>4.0</v>
      </c>
      <c r="J20" s="19">
        <v>4.0</v>
      </c>
      <c r="K20" s="19">
        <v>6.0</v>
      </c>
      <c r="L20" s="19">
        <v>6.0</v>
      </c>
      <c r="M20" s="20">
        <f t="shared" ref="M20:N20" si="2">SUM(C20,E20,G20,I20,K20)</f>
        <v>22</v>
      </c>
      <c r="N20" s="20">
        <f t="shared" si="2"/>
        <v>22</v>
      </c>
    </row>
    <row r="21" ht="14.25" customHeight="1">
      <c r="A21" s="21"/>
      <c r="B21" s="25" t="s">
        <v>30</v>
      </c>
      <c r="C21" s="24">
        <v>4.0</v>
      </c>
      <c r="D21" s="24">
        <v>4.0</v>
      </c>
      <c r="E21" s="24">
        <v>4.0</v>
      </c>
      <c r="F21" s="24">
        <v>4.0</v>
      </c>
      <c r="G21" s="24">
        <v>6.0</v>
      </c>
      <c r="H21" s="24">
        <v>6.0</v>
      </c>
      <c r="I21" s="24">
        <v>4.0</v>
      </c>
      <c r="J21" s="24">
        <v>4.0</v>
      </c>
      <c r="K21" s="24">
        <v>4.0</v>
      </c>
      <c r="L21" s="24">
        <v>4.0</v>
      </c>
      <c r="M21" s="25">
        <f t="shared" ref="M21:N21" si="3">SUM(C21,E21,G21,I21,K21)</f>
        <v>22</v>
      </c>
      <c r="N21" s="25">
        <f t="shared" si="3"/>
        <v>22</v>
      </c>
    </row>
    <row r="22" ht="14.25" customHeight="1">
      <c r="A22" s="21"/>
      <c r="B22" s="20" t="s">
        <v>31</v>
      </c>
      <c r="C22" s="19">
        <v>2.0</v>
      </c>
      <c r="D22" s="19">
        <v>2.0</v>
      </c>
      <c r="E22" s="19">
        <v>2.0</v>
      </c>
      <c r="F22" s="19">
        <v>2.0</v>
      </c>
      <c r="G22" s="19">
        <v>2.0</v>
      </c>
      <c r="H22" s="19">
        <v>2.0</v>
      </c>
      <c r="I22" s="19">
        <v>6.0</v>
      </c>
      <c r="J22" s="19">
        <v>6.0</v>
      </c>
      <c r="K22" s="19">
        <v>2.0</v>
      </c>
      <c r="L22" s="19">
        <v>2.0</v>
      </c>
      <c r="M22" s="20">
        <f t="shared" ref="M22:N22" si="4">SUM(C22,E22,G22,I22,K22)</f>
        <v>14</v>
      </c>
      <c r="N22" s="20">
        <f t="shared" si="4"/>
        <v>14</v>
      </c>
    </row>
    <row r="23" ht="14.25" customHeight="1">
      <c r="A23" s="21"/>
      <c r="B23" s="25" t="s">
        <v>32</v>
      </c>
      <c r="C23" s="24">
        <v>6.0</v>
      </c>
      <c r="D23" s="24">
        <v>6.0</v>
      </c>
      <c r="E23" s="24">
        <v>2.0</v>
      </c>
      <c r="F23" s="24">
        <v>4.0</v>
      </c>
      <c r="G23" s="24">
        <v>4.0</v>
      </c>
      <c r="H23" s="24">
        <v>4.0</v>
      </c>
      <c r="I23" s="24">
        <v>2.0</v>
      </c>
      <c r="J23" s="24">
        <v>2.0</v>
      </c>
      <c r="K23" s="24">
        <v>2.0</v>
      </c>
      <c r="L23" s="24">
        <v>2.0</v>
      </c>
      <c r="M23" s="25">
        <f t="shared" ref="M23:N23" si="5">SUM(C23,E23,G23,I23,K23)</f>
        <v>16</v>
      </c>
      <c r="N23" s="25">
        <f t="shared" si="5"/>
        <v>18</v>
      </c>
    </row>
    <row r="24" ht="14.25" customHeight="1">
      <c r="A24" s="21"/>
      <c r="B24" s="20" t="s">
        <v>33</v>
      </c>
      <c r="C24" s="19">
        <v>4.0</v>
      </c>
      <c r="D24" s="19">
        <v>2.0</v>
      </c>
      <c r="E24" s="19">
        <v>4.0</v>
      </c>
      <c r="F24" s="19">
        <v>2.0</v>
      </c>
      <c r="G24" s="19">
        <v>6.0</v>
      </c>
      <c r="H24" s="19">
        <v>2.0</v>
      </c>
      <c r="I24" s="19">
        <v>4.0</v>
      </c>
      <c r="J24" s="19">
        <v>2.0</v>
      </c>
      <c r="K24" s="19">
        <v>4.0</v>
      </c>
      <c r="L24" s="19">
        <v>2.0</v>
      </c>
      <c r="M24" s="20">
        <f t="shared" ref="M24:N24" si="6">SUM(C24,E24,G24,I24,K24)</f>
        <v>22</v>
      </c>
      <c r="N24" s="20">
        <f t="shared" si="6"/>
        <v>10</v>
      </c>
    </row>
    <row r="25" ht="14.25" customHeight="1">
      <c r="A25" s="21" t="s">
        <v>34</v>
      </c>
      <c r="B25" s="25" t="s">
        <v>35</v>
      </c>
      <c r="C25" s="24">
        <v>2.0</v>
      </c>
      <c r="D25" s="24">
        <v>2.0</v>
      </c>
      <c r="E25" s="24">
        <v>2.0</v>
      </c>
      <c r="F25" s="24">
        <v>2.0</v>
      </c>
      <c r="G25" s="24">
        <v>2.0</v>
      </c>
      <c r="H25" s="24">
        <v>2.0</v>
      </c>
      <c r="I25" s="24">
        <v>2.0</v>
      </c>
      <c r="J25" s="24">
        <v>2.0</v>
      </c>
      <c r="K25" s="24">
        <v>2.0</v>
      </c>
      <c r="L25" s="24">
        <v>2.0</v>
      </c>
      <c r="M25" s="25">
        <f t="shared" ref="M25:N25" si="7">SUM(C25,E25,G25,I25,K25)</f>
        <v>10</v>
      </c>
      <c r="N25" s="25">
        <f t="shared" si="7"/>
        <v>10</v>
      </c>
    </row>
    <row r="26" ht="14.25" customHeight="1">
      <c r="A26" s="21"/>
      <c r="B26" s="20" t="s">
        <v>36</v>
      </c>
      <c r="C26" s="19">
        <v>3.0</v>
      </c>
      <c r="D26" s="19">
        <v>3.0</v>
      </c>
      <c r="E26" s="19">
        <v>4.0</v>
      </c>
      <c r="F26" s="19">
        <v>4.0</v>
      </c>
      <c r="G26" s="19">
        <v>2.0</v>
      </c>
      <c r="H26" s="19">
        <v>2.0</v>
      </c>
      <c r="I26" s="19">
        <v>4.0</v>
      </c>
      <c r="J26" s="19">
        <v>4.0</v>
      </c>
      <c r="K26" s="19">
        <v>4.0</v>
      </c>
      <c r="L26" s="19">
        <v>4.0</v>
      </c>
      <c r="M26" s="20">
        <f t="shared" ref="M26:N26" si="8">SUM(C26,E26,G26,I26,K26)</f>
        <v>17</v>
      </c>
      <c r="N26" s="20">
        <f t="shared" si="8"/>
        <v>17</v>
      </c>
    </row>
    <row r="27" ht="14.25" customHeight="1">
      <c r="A27" s="21"/>
      <c r="B27" s="25" t="s">
        <v>37</v>
      </c>
      <c r="C27" s="24">
        <v>4.0</v>
      </c>
      <c r="D27" s="24">
        <v>1.0</v>
      </c>
      <c r="E27" s="24">
        <v>4.0</v>
      </c>
      <c r="F27" s="24">
        <v>1.0</v>
      </c>
      <c r="G27" s="24">
        <v>4.0</v>
      </c>
      <c r="H27" s="24">
        <v>1.0</v>
      </c>
      <c r="I27" s="24">
        <v>4.0</v>
      </c>
      <c r="J27" s="24">
        <v>1.0</v>
      </c>
      <c r="K27" s="24">
        <v>4.0</v>
      </c>
      <c r="L27" s="24">
        <v>1.0</v>
      </c>
      <c r="M27" s="25">
        <f t="shared" ref="M27:N27" si="9">SUM(C27,E27,G27,I27,K27)</f>
        <v>20</v>
      </c>
      <c r="N27" s="25">
        <f t="shared" si="9"/>
        <v>5</v>
      </c>
    </row>
    <row r="28" ht="14.25" customHeight="1">
      <c r="A28" s="21"/>
      <c r="B28" s="20" t="s">
        <v>38</v>
      </c>
      <c r="C28" s="19">
        <v>2.0</v>
      </c>
      <c r="D28" s="19">
        <v>0.0</v>
      </c>
      <c r="E28" s="19">
        <v>2.0</v>
      </c>
      <c r="F28" s="19">
        <v>0.0</v>
      </c>
      <c r="G28" s="19">
        <v>2.0</v>
      </c>
      <c r="H28" s="19">
        <v>0.0</v>
      </c>
      <c r="I28" s="19">
        <v>2.0</v>
      </c>
      <c r="J28" s="19">
        <v>0.0</v>
      </c>
      <c r="K28" s="19">
        <v>2.0</v>
      </c>
      <c r="L28" s="19">
        <v>0.0</v>
      </c>
      <c r="M28" s="20">
        <f t="shared" ref="M28:N28" si="10">SUM(C28,E28,G28,I28,K28)</f>
        <v>10</v>
      </c>
      <c r="N28" s="20">
        <f t="shared" si="10"/>
        <v>0</v>
      </c>
    </row>
    <row r="29" ht="14.25" customHeight="1">
      <c r="A29" s="21" t="s">
        <v>39</v>
      </c>
      <c r="B29" s="25" t="s">
        <v>40</v>
      </c>
      <c r="C29" s="24">
        <v>4.0</v>
      </c>
      <c r="D29" s="24">
        <v>2.0</v>
      </c>
      <c r="E29" s="24">
        <v>2.0</v>
      </c>
      <c r="F29" s="24">
        <v>0.0</v>
      </c>
      <c r="G29" s="24">
        <v>2.0</v>
      </c>
      <c r="H29" s="24">
        <v>0.0</v>
      </c>
      <c r="I29" s="24">
        <v>2.0</v>
      </c>
      <c r="J29" s="24">
        <v>0.0</v>
      </c>
      <c r="K29" s="24">
        <v>2.0</v>
      </c>
      <c r="L29" s="24">
        <v>0.0</v>
      </c>
      <c r="M29" s="25">
        <f t="shared" ref="M29:N29" si="11">SUM(C29,E29,G29,I29,K29)</f>
        <v>12</v>
      </c>
      <c r="N29" s="25">
        <f t="shared" si="11"/>
        <v>2</v>
      </c>
    </row>
    <row r="30" ht="14.25" customHeight="1">
      <c r="A30" s="21"/>
      <c r="B30" s="20" t="s">
        <v>41</v>
      </c>
      <c r="C30" s="19">
        <v>2.0</v>
      </c>
      <c r="D30" s="19">
        <v>0.0</v>
      </c>
      <c r="E30" s="19">
        <v>2.0</v>
      </c>
      <c r="F30" s="19">
        <v>0.0</v>
      </c>
      <c r="G30" s="19">
        <v>2.0</v>
      </c>
      <c r="H30" s="19">
        <v>0.0</v>
      </c>
      <c r="I30" s="19">
        <v>2.0</v>
      </c>
      <c r="J30" s="19">
        <v>0.0</v>
      </c>
      <c r="K30" s="19">
        <v>2.0</v>
      </c>
      <c r="L30" s="19">
        <v>0.0</v>
      </c>
      <c r="M30" s="20">
        <f t="shared" ref="M30:N30" si="12">SUM(C30,E30,G30,I30,K30)</f>
        <v>10</v>
      </c>
      <c r="N30" s="20">
        <f t="shared" si="12"/>
        <v>0</v>
      </c>
    </row>
    <row r="31" ht="14.25" customHeight="1">
      <c r="A31" s="21"/>
      <c r="B31" s="25" t="s">
        <v>42</v>
      </c>
      <c r="C31" s="24">
        <v>2.0</v>
      </c>
      <c r="D31" s="24">
        <v>0.0</v>
      </c>
      <c r="E31" s="24">
        <v>2.0</v>
      </c>
      <c r="F31" s="24">
        <v>0.0</v>
      </c>
      <c r="G31" s="24">
        <v>4.0</v>
      </c>
      <c r="H31" s="24">
        <v>0.0</v>
      </c>
      <c r="I31" s="24">
        <v>2.0</v>
      </c>
      <c r="J31" s="24">
        <v>0.0</v>
      </c>
      <c r="K31" s="24">
        <v>2.0</v>
      </c>
      <c r="L31" s="24">
        <v>0.0</v>
      </c>
      <c r="M31" s="25">
        <f t="shared" ref="M31:N31" si="13">SUM(C31,E31,G31,I31,K31)</f>
        <v>12</v>
      </c>
      <c r="N31" s="25">
        <f t="shared" si="13"/>
        <v>0</v>
      </c>
    </row>
    <row r="32" ht="14.25" customHeight="1">
      <c r="A32" s="21"/>
      <c r="B32" s="20" t="s">
        <v>43</v>
      </c>
      <c r="C32" s="19">
        <v>2.0</v>
      </c>
      <c r="D32" s="19">
        <v>0.0</v>
      </c>
      <c r="E32" s="19">
        <v>2.0</v>
      </c>
      <c r="F32" s="19">
        <v>0.0</v>
      </c>
      <c r="G32" s="19">
        <v>4.0</v>
      </c>
      <c r="H32" s="19">
        <v>2.0</v>
      </c>
      <c r="I32" s="19">
        <v>2.0</v>
      </c>
      <c r="J32" s="19">
        <v>0.0</v>
      </c>
      <c r="K32" s="19">
        <v>2.0</v>
      </c>
      <c r="L32" s="19">
        <v>0.0</v>
      </c>
      <c r="M32" s="20">
        <f t="shared" ref="M32:N32" si="14">SUM(C32,E32,G32,I32,K32)</f>
        <v>12</v>
      </c>
      <c r="N32" s="20">
        <f t="shared" si="14"/>
        <v>2</v>
      </c>
    </row>
    <row r="33" ht="14.25" customHeight="1">
      <c r="A33" s="21"/>
      <c r="B33" s="25" t="s">
        <v>44</v>
      </c>
      <c r="C33" s="24">
        <v>2.0</v>
      </c>
      <c r="D33" s="24">
        <v>1.0</v>
      </c>
      <c r="E33" s="24">
        <v>2.0</v>
      </c>
      <c r="F33" s="24">
        <v>1.0</v>
      </c>
      <c r="G33" s="24">
        <v>2.0</v>
      </c>
      <c r="H33" s="24">
        <v>1.0</v>
      </c>
      <c r="I33" s="24">
        <v>4.0</v>
      </c>
      <c r="J33" s="24">
        <v>2.0</v>
      </c>
      <c r="K33" s="24">
        <v>2.0</v>
      </c>
      <c r="L33" s="24">
        <v>1.0</v>
      </c>
      <c r="M33" s="25">
        <f t="shared" ref="M33:N33" si="15">SUM(C33,E33,G33,I33,K33)</f>
        <v>12</v>
      </c>
      <c r="N33" s="25">
        <f t="shared" si="15"/>
        <v>6</v>
      </c>
    </row>
    <row r="34" ht="14.25" customHeight="1">
      <c r="A34" s="21"/>
      <c r="B34" s="25" t="s">
        <v>45</v>
      </c>
      <c r="C34" s="24">
        <v>2.0</v>
      </c>
      <c r="D34" s="24">
        <v>1.0</v>
      </c>
      <c r="E34" s="24">
        <v>2.0</v>
      </c>
      <c r="F34" s="24">
        <v>1.0</v>
      </c>
      <c r="G34" s="24">
        <v>2.0</v>
      </c>
      <c r="H34" s="24">
        <v>1.0</v>
      </c>
      <c r="I34" s="24">
        <v>2.0</v>
      </c>
      <c r="J34" s="24">
        <v>1.0</v>
      </c>
      <c r="K34" s="24">
        <v>4.0</v>
      </c>
      <c r="L34" s="24">
        <v>2.0</v>
      </c>
      <c r="M34" s="25">
        <f>SUM(C22,E22,G22,I22,K22)</f>
        <v>14</v>
      </c>
      <c r="N34" s="25">
        <f>SUM(C22,E22,G22,I22,K22)</f>
        <v>14</v>
      </c>
    </row>
    <row r="35" ht="14.25" customHeight="1">
      <c r="A35" s="21"/>
      <c r="B35" s="25" t="s">
        <v>46</v>
      </c>
      <c r="C35" s="24">
        <v>4.0</v>
      </c>
      <c r="D35" s="24">
        <v>2.0</v>
      </c>
      <c r="E35" s="24">
        <v>2.0</v>
      </c>
      <c r="F35" s="24">
        <v>1.0</v>
      </c>
      <c r="G35" s="24">
        <v>2.0</v>
      </c>
      <c r="H35" s="24">
        <v>1.0</v>
      </c>
      <c r="I35" s="24">
        <v>2.0</v>
      </c>
      <c r="J35" s="24">
        <v>1.0</v>
      </c>
      <c r="K35" s="24">
        <v>2.0</v>
      </c>
      <c r="L35" s="24">
        <v>1.0</v>
      </c>
      <c r="M35" s="25">
        <f>SUM(C22,E22,G22,I22,K22)</f>
        <v>14</v>
      </c>
      <c r="N35" s="25">
        <f>SUM(C22,E22,G22,I22,K22)</f>
        <v>14</v>
      </c>
    </row>
    <row r="36" ht="14.25" customHeight="1">
      <c r="A36" s="21"/>
      <c r="B36" s="20" t="s">
        <v>47</v>
      </c>
      <c r="C36" s="19">
        <v>4.0</v>
      </c>
      <c r="D36" s="19">
        <v>2.0</v>
      </c>
      <c r="E36" s="19">
        <v>2.0</v>
      </c>
      <c r="F36" s="19">
        <v>1.0</v>
      </c>
      <c r="G36" s="19">
        <v>2.0</v>
      </c>
      <c r="H36" s="19">
        <v>1.0</v>
      </c>
      <c r="I36" s="19">
        <v>2.0</v>
      </c>
      <c r="J36" s="19">
        <v>1.0</v>
      </c>
      <c r="K36" s="19">
        <v>2.0</v>
      </c>
      <c r="L36" s="19">
        <v>1.0</v>
      </c>
      <c r="M36" s="20">
        <f>SUM(C22,E22,G22,I22,K22)</f>
        <v>14</v>
      </c>
      <c r="N36" s="20">
        <f>SUM(C22,E22,G22,I22,K22)</f>
        <v>14</v>
      </c>
    </row>
    <row r="37" ht="14.25" customHeight="1">
      <c r="A37" s="21" t="s">
        <v>48</v>
      </c>
      <c r="B37" s="25" t="s">
        <v>49</v>
      </c>
      <c r="C37" s="24">
        <v>4.0</v>
      </c>
      <c r="D37" s="24">
        <v>4.0</v>
      </c>
      <c r="E37" s="24">
        <v>4.0</v>
      </c>
      <c r="F37" s="24">
        <v>4.0</v>
      </c>
      <c r="G37" s="24">
        <v>4.0</v>
      </c>
      <c r="H37" s="24">
        <v>4.0</v>
      </c>
      <c r="I37" s="24">
        <v>4.0</v>
      </c>
      <c r="J37" s="24">
        <v>4.0</v>
      </c>
      <c r="K37" s="24">
        <v>4.0</v>
      </c>
      <c r="L37" s="24">
        <v>4.0</v>
      </c>
      <c r="M37" s="25">
        <f t="shared" ref="M37:N37" si="16">SUM(C37,E37,G37,I37,K37)</f>
        <v>20</v>
      </c>
      <c r="N37" s="25">
        <f t="shared" si="16"/>
        <v>20</v>
      </c>
    </row>
    <row r="38" ht="14.25" customHeight="1">
      <c r="A38" s="21"/>
      <c r="B38" s="20" t="s">
        <v>50</v>
      </c>
      <c r="C38" s="19">
        <v>4.0</v>
      </c>
      <c r="D38" s="19">
        <v>4.0</v>
      </c>
      <c r="E38" s="19">
        <v>4.0</v>
      </c>
      <c r="F38" s="19">
        <v>4.0</v>
      </c>
      <c r="G38" s="19">
        <v>4.0</v>
      </c>
      <c r="H38" s="19">
        <v>4.0</v>
      </c>
      <c r="I38" s="19">
        <v>4.0</v>
      </c>
      <c r="J38" s="19">
        <v>4.0</v>
      </c>
      <c r="K38" s="19">
        <v>4.0</v>
      </c>
      <c r="L38" s="19">
        <v>4.0</v>
      </c>
      <c r="M38" s="20">
        <f t="shared" ref="M38:N38" si="17">SUM(C38,E38,G38,I38,K38)</f>
        <v>20</v>
      </c>
      <c r="N38" s="20">
        <f t="shared" si="17"/>
        <v>20</v>
      </c>
    </row>
    <row r="39" ht="14.25" customHeight="1">
      <c r="A39" s="21"/>
      <c r="B39" s="25" t="s">
        <v>51</v>
      </c>
      <c r="C39" s="24">
        <v>4.0</v>
      </c>
      <c r="D39" s="24">
        <v>1.0</v>
      </c>
      <c r="E39" s="24">
        <v>4.0</v>
      </c>
      <c r="F39" s="24">
        <v>1.0</v>
      </c>
      <c r="G39" s="24">
        <v>4.0</v>
      </c>
      <c r="H39" s="24">
        <v>1.0</v>
      </c>
      <c r="I39" s="24">
        <v>4.0</v>
      </c>
      <c r="J39" s="24">
        <v>1.0</v>
      </c>
      <c r="K39" s="24">
        <v>4.0</v>
      </c>
      <c r="L39" s="24">
        <v>1.0</v>
      </c>
      <c r="M39" s="25">
        <f>SUM(C22,E22,G22,I22,K22)</f>
        <v>14</v>
      </c>
      <c r="N39" s="25">
        <f>SUM(C22,E22,G22,I22,K22)</f>
        <v>14</v>
      </c>
    </row>
    <row r="40" ht="14.25" customHeight="1">
      <c r="A40" s="21"/>
      <c r="B40" s="20" t="s">
        <v>52</v>
      </c>
      <c r="C40" s="19">
        <v>4.0</v>
      </c>
      <c r="D40" s="19">
        <v>0.0</v>
      </c>
      <c r="E40" s="19">
        <v>4.0</v>
      </c>
      <c r="F40" s="19">
        <v>0.0</v>
      </c>
      <c r="G40" s="19">
        <v>4.0</v>
      </c>
      <c r="H40" s="19">
        <v>0.0</v>
      </c>
      <c r="I40" s="19">
        <v>4.0</v>
      </c>
      <c r="J40" s="19">
        <v>0.0</v>
      </c>
      <c r="K40" s="19">
        <v>4.0</v>
      </c>
      <c r="L40" s="19">
        <v>0.0</v>
      </c>
      <c r="M40" s="20">
        <f>SUM(C22,E22,G22,I22,K22)</f>
        <v>14</v>
      </c>
      <c r="N40" s="20">
        <f>SUM(C22,E22,G22,I22,K22)</f>
        <v>14</v>
      </c>
    </row>
    <row r="41" ht="14.25" customHeight="1">
      <c r="A41" s="21" t="s">
        <v>53</v>
      </c>
      <c r="B41" s="25" t="s">
        <v>54</v>
      </c>
      <c r="C41" s="24">
        <v>4.0</v>
      </c>
      <c r="D41" s="24">
        <v>4.0</v>
      </c>
      <c r="E41" s="24">
        <v>4.0</v>
      </c>
      <c r="F41" s="24">
        <v>4.0</v>
      </c>
      <c r="G41" s="24">
        <v>4.0</v>
      </c>
      <c r="H41" s="24">
        <v>4.0</v>
      </c>
      <c r="I41" s="24">
        <v>4.0</v>
      </c>
      <c r="J41" s="24">
        <v>4.0</v>
      </c>
      <c r="K41" s="24">
        <v>4.0</v>
      </c>
      <c r="L41" s="24">
        <v>4.0</v>
      </c>
      <c r="M41" s="25">
        <f t="shared" ref="M41:N41" si="18">SUM(C41,E41,G41,I41,K41)</f>
        <v>20</v>
      </c>
      <c r="N41" s="25">
        <f t="shared" si="18"/>
        <v>20</v>
      </c>
    </row>
    <row r="42" ht="14.25" customHeight="1">
      <c r="A42" s="21"/>
      <c r="B42" s="20" t="s">
        <v>55</v>
      </c>
      <c r="C42" s="19">
        <v>1.0</v>
      </c>
      <c r="D42" s="19">
        <v>1.0</v>
      </c>
      <c r="E42" s="19">
        <v>1.0</v>
      </c>
      <c r="F42" s="19">
        <v>1.0</v>
      </c>
      <c r="G42" s="19">
        <v>1.0</v>
      </c>
      <c r="H42" s="19">
        <v>1.0</v>
      </c>
      <c r="I42" s="19">
        <v>4.0</v>
      </c>
      <c r="J42" s="19">
        <v>3.0</v>
      </c>
      <c r="K42" s="19">
        <v>1.0</v>
      </c>
      <c r="L42" s="19">
        <v>1.0</v>
      </c>
      <c r="M42" s="20">
        <f t="shared" ref="M42:N42" si="19">SUM(C42,E42,G42,I42,K42)</f>
        <v>8</v>
      </c>
      <c r="N42" s="20">
        <f t="shared" si="19"/>
        <v>7</v>
      </c>
    </row>
    <row r="43" ht="14.25" customHeight="1">
      <c r="A43" s="21"/>
      <c r="B43" s="25" t="s">
        <v>56</v>
      </c>
      <c r="C43" s="24">
        <v>1.0</v>
      </c>
      <c r="D43" s="24">
        <v>1.0</v>
      </c>
      <c r="E43" s="24">
        <v>1.0</v>
      </c>
      <c r="F43" s="24">
        <v>1.0</v>
      </c>
      <c r="G43" s="24">
        <v>1.0</v>
      </c>
      <c r="H43" s="24">
        <v>1.0</v>
      </c>
      <c r="I43" s="24">
        <v>1.0</v>
      </c>
      <c r="J43" s="24">
        <v>1.0</v>
      </c>
      <c r="K43" s="24">
        <v>1.0</v>
      </c>
      <c r="L43" s="24">
        <v>1.0</v>
      </c>
      <c r="M43" s="25">
        <f t="shared" ref="M43:N43" si="20">SUM(C43,E43,G43,I43,K43)</f>
        <v>5</v>
      </c>
      <c r="N43" s="25">
        <f t="shared" si="20"/>
        <v>5</v>
      </c>
    </row>
    <row r="44" ht="14.25" customHeight="1">
      <c r="A44" s="26"/>
      <c r="B44" s="20" t="s">
        <v>57</v>
      </c>
      <c r="C44" s="27">
        <v>2.0</v>
      </c>
      <c r="D44" s="27">
        <v>1.0</v>
      </c>
      <c r="E44" s="27">
        <v>2.0</v>
      </c>
      <c r="F44" s="27">
        <v>1.0</v>
      </c>
      <c r="G44" s="27">
        <v>2.0</v>
      </c>
      <c r="H44" s="27">
        <v>1.0</v>
      </c>
      <c r="I44" s="27">
        <v>2.0</v>
      </c>
      <c r="J44" s="27">
        <v>1.0</v>
      </c>
      <c r="K44" s="27">
        <v>2.0</v>
      </c>
      <c r="L44" s="27">
        <v>1.0</v>
      </c>
      <c r="M44" s="28">
        <f>SUM(C22,E22,G22,I22,K22)</f>
        <v>14</v>
      </c>
      <c r="N44" s="28">
        <f>SUM(C22,E22,G22,I22,K22)</f>
        <v>14</v>
      </c>
    </row>
    <row r="45" ht="14.25" customHeight="1">
      <c r="A45" s="29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2"/>
      <c r="N45" s="32"/>
    </row>
    <row r="46" ht="33.0" customHeight="1">
      <c r="A46" s="33" t="s">
        <v>58</v>
      </c>
      <c r="B46" s="34"/>
      <c r="C46" s="35">
        <f t="shared" ref="C46:N46" si="21">SUM(C13:C43)</f>
        <v>85</v>
      </c>
      <c r="D46" s="35">
        <f t="shared" si="21"/>
        <v>57</v>
      </c>
      <c r="E46" s="35">
        <f t="shared" si="21"/>
        <v>84</v>
      </c>
      <c r="F46" s="35">
        <f t="shared" si="21"/>
        <v>59</v>
      </c>
      <c r="G46" s="35">
        <f t="shared" si="21"/>
        <v>84</v>
      </c>
      <c r="H46" s="35">
        <f t="shared" si="21"/>
        <v>54</v>
      </c>
      <c r="I46" s="35">
        <f t="shared" si="21"/>
        <v>85</v>
      </c>
      <c r="J46" s="35">
        <f t="shared" si="21"/>
        <v>57</v>
      </c>
      <c r="K46" s="35">
        <f t="shared" si="21"/>
        <v>80</v>
      </c>
      <c r="L46" s="35">
        <f t="shared" si="21"/>
        <v>53</v>
      </c>
      <c r="M46" s="35">
        <f t="shared" si="21"/>
        <v>412</v>
      </c>
      <c r="N46" s="35">
        <f t="shared" si="21"/>
        <v>327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</sheetData>
  <mergeCells count="7">
    <mergeCell ref="A1:N1"/>
    <mergeCell ref="A2:L2"/>
    <mergeCell ref="C3:D3"/>
    <mergeCell ref="E3:F3"/>
    <mergeCell ref="G3:H3"/>
    <mergeCell ref="I3:J3"/>
    <mergeCell ref="K3:L3"/>
  </mergeCells>
  <printOptions/>
  <pageMargins bottom="0.75" footer="0.0" header="0.0" left="0.7" right="0.7" top="0.75"/>
  <pageSetup orientation="landscape"/>
  <drawing r:id="rId1"/>
</worksheet>
</file>